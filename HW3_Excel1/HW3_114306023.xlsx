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dy/Desktop/"/>
    </mc:Choice>
  </mc:AlternateContent>
  <xr:revisionPtr revIDLastSave="0" documentId="13_ncr:1_{3156B724-F62E-D64E-958A-8468AC1BF91B}" xr6:coauthVersionLast="47" xr6:coauthVersionMax="47" xr10:uidLastSave="{00000000-0000-0000-0000-000000000000}"/>
  <bookViews>
    <workbookView xWindow="0" yWindow="680" windowWidth="29400" windowHeight="18440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1" l="1"/>
  <c r="R18" i="1"/>
  <c r="L2" i="1" a="1"/>
  <c r="L2" i="1" s="1"/>
  <c r="L3" i="1" a="1"/>
  <c r="L3" i="1"/>
  <c r="L4" i="1" a="1"/>
  <c r="L4" i="1"/>
  <c r="L5" i="1" a="1"/>
  <c r="L5" i="1" s="1"/>
  <c r="L6" i="1" a="1"/>
  <c r="L6" i="1" s="1"/>
  <c r="L7" i="1" a="1"/>
  <c r="L7" i="1"/>
  <c r="L8" i="1" a="1"/>
  <c r="L8" i="1" s="1"/>
  <c r="L9" i="1" a="1"/>
  <c r="L9" i="1" s="1"/>
  <c r="L10" i="1" a="1"/>
  <c r="L10" i="1" s="1"/>
  <c r="L11" i="1" a="1"/>
  <c r="L11" i="1"/>
  <c r="L12" i="1" a="1"/>
  <c r="L12" i="1" s="1"/>
  <c r="L13" i="1" a="1"/>
  <c r="L13" i="1" s="1"/>
  <c r="L14" i="1" a="1"/>
  <c r="L14" i="1" s="1"/>
  <c r="L15" i="1" a="1"/>
  <c r="L15" i="1"/>
  <c r="K2" i="1" a="1"/>
  <c r="K2" i="1" s="1"/>
  <c r="K3" i="1" a="1"/>
  <c r="K3" i="1" s="1"/>
  <c r="K4" i="1" a="1"/>
  <c r="K4" i="1" s="1"/>
  <c r="K5" i="1" a="1"/>
  <c r="K5" i="1"/>
  <c r="K6" i="1" a="1"/>
  <c r="K6" i="1" s="1"/>
  <c r="K7" i="1" a="1"/>
  <c r="K7" i="1"/>
  <c r="K8" i="1" a="1"/>
  <c r="K8" i="1" s="1"/>
  <c r="K9" i="1" a="1"/>
  <c r="K9" i="1"/>
  <c r="K10" i="1" a="1"/>
  <c r="K10" i="1" s="1"/>
  <c r="K11" i="1" a="1"/>
  <c r="K11" i="1"/>
  <c r="K12" i="1" a="1"/>
  <c r="K12" i="1" s="1"/>
  <c r="K13" i="1" a="1"/>
  <c r="K13" i="1"/>
  <c r="K14" i="1" a="1"/>
  <c r="K14" i="1" s="1"/>
  <c r="K15" i="1" a="1"/>
  <c r="K15" i="1" s="1"/>
  <c r="J10" i="1"/>
  <c r="H17" i="1"/>
  <c r="D17" i="1"/>
  <c r="C17" i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H11" i="1"/>
  <c r="J11" i="1" s="1"/>
  <c r="H12" i="1"/>
  <c r="J12" i="1" s="1"/>
  <c r="H13" i="1"/>
  <c r="J13" i="1" s="1"/>
  <c r="H14" i="1"/>
  <c r="J14" i="1" s="1"/>
  <c r="H15" i="1"/>
  <c r="J15" i="1" s="1"/>
  <c r="H2" i="1"/>
  <c r="J2" i="1" s="1"/>
  <c r="J1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<sst xmlns="http://schemas.openxmlformats.org/spreadsheetml/2006/main" count="34" uniqueCount="34">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</sst>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</a:t>
            </a:r>
            <a:r>
              <a:rPr lang="en-US" altLang="zh-TW" baseline="0"/>
              <a:t> bar graph of the students' overall scores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工作表1!$A$2:$A$15</c:f>
              <c:numCache>
                <c:formatCode>General</c:formatCode>
                <c:ptCount val="14"/>
                <c:pt idx="0">
                  <c:v>4</c:v>
                </c:pt>
                <c:pt idx="1">
                  <c:v>3</c:v>
                </c:pt>
                <c:pt idx="2">
                  <c:v>10</c:v>
                </c:pt>
                <c:pt idx="3">
                  <c:v>6</c:v>
                </c:pt>
                <c:pt idx="4">
                  <c:v>2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13</c:v>
                </c:pt>
                <c:pt idx="9">
                  <c:v>1</c:v>
                </c:pt>
                <c:pt idx="10">
                  <c:v>8</c:v>
                </c:pt>
                <c:pt idx="11">
                  <c:v>12</c:v>
                </c:pt>
                <c:pt idx="12">
                  <c:v>11</c:v>
                </c:pt>
                <c:pt idx="13">
                  <c:v>14</c:v>
                </c:pt>
              </c:numCache>
            </c:numRef>
          </c:cat>
          <c:val>
            <c:numRef>
              <c:f>工作表1!$J$2:$J$15</c:f>
              <c:numCache>
                <c:formatCode>0.0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B-0A4B-B642-C83DFB112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34720"/>
        <c:axId val="57940992"/>
      </c:barChart>
      <c:catAx>
        <c:axId val="5793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940992"/>
        <c:crosses val="autoZero"/>
        <c:auto val="1"/>
        <c:lblAlgn val="ctr"/>
        <c:lblOffset val="100"/>
        <c:noMultiLvlLbl val="0"/>
      </c:catAx>
      <c:valAx>
        <c:axId val="579409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overall</a:t>
                </a:r>
                <a:r>
                  <a:rPr lang="en-US" altLang="zh-TW" baseline="0"/>
                  <a:t>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934720"/>
        <c:crossesAt val="1"/>
        <c:crossBetween val="between"/>
        <c:majorUnit val="10"/>
        <c:min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</a:t>
            </a:r>
            <a:r>
              <a:rPr lang="en-US" altLang="zh-TW" baseline="0"/>
              <a:t> circle chart of the "pass" and "fail" porpotion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385-1346-8501-E2AE88C76A28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85-1346-8501-E2AE88C76A28}"/>
              </c:ext>
            </c:extLst>
          </c:dPt>
          <c:dLbls>
            <c:dLbl>
              <c:idx val="0"/>
              <c:layout>
                <c:manualLayout>
                  <c:x val="5.1125558361400307E-2"/>
                  <c:y val="-7.3745132438865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85-1346-8501-E2AE88C76A28}"/>
                </c:ext>
              </c:extLst>
            </c:dLbl>
            <c:dLbl>
              <c:idx val="1"/>
              <c:layout>
                <c:manualLayout>
                  <c:x val="-2.4500593495361002E-3"/>
                  <c:y val="1.310039880207576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85-1346-8501-E2AE88C76A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工作表1!$Q$18:$Q$19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工作表1!$R$18:$R$19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5-1346-8501-E2AE88C76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402177</xdr:colOff>
      <xdr:row>23</xdr:row>
      <xdr:rowOff>193223</xdr:rowOff>
    </xdr:from>
    <xdr:to>
      <xdr:col>10</xdr:col>
      <xdr:colOff>1651857</xdr:colOff>
      <xdr:row>38</xdr:row>
      <xdr:rowOff>34947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654272D-A03F-66DC-465F-0B41F6E13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16934</xdr:colOff>
      <xdr:row>16</xdr:row>
      <xdr:rowOff>16933</xdr:rowOff>
    </xdr:from>
    <xdr:to>
      <xdr:col>15</xdr:col>
      <xdr:colOff>539448</xdr:colOff>
      <xdr:row>30</xdr:row>
      <xdr:rowOff>104019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6C6FCFF9-3C6B-E3C7-8597-35C37C5F8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R24"/>
  <sheetViews>
    <sheetView tabSelected="1" zoomScale="150" zoomScaleNormal="100" workbookViewId="0">
      <selection activeCell="R29" sqref="R29"/>
    </sheetView>
  </sheetViews>
  <sheetFormatPr baseColWidth="10" defaultColWidth="8.83203125" defaultRowHeight="15"/>
  <cols>
    <col min="3" max="4" width="13" bestFit="1" customWidth="1"/>
    <col min="8" max="8" width="18.6640625" bestFit="1" customWidth="1"/>
    <col min="10" max="10" width="16.1640625" bestFit="1" customWidth="1"/>
    <col min="11" max="11" width="24.1640625" customWidth="1"/>
    <col min="12" max="12" width="23" customWidth="1"/>
    <col min="14" max="14" width="10.33203125" bestFit="1" customWidth="1"/>
    <col min="15" max="15" width="10.83203125" bestFit="1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 s="6">
        <f>AVERAGE(H2:I2)</f>
        <v>91.7</v>
      </c>
      <c r="K2" s="5" t="str" cm="1">
        <f t="array" ref="K2">_xlfn.IFS(J2&lt;=59,"F",J2&lt;=69,"D",J2&lt;=79,"C",J2&lt;=89,"B",J2&lt;=100,"A")</f>
        <v>A</v>
      </c>
      <c r="L2" t="str" cm="1">
        <f t="array" ref="L2">_xlfn.IFS(J2&lt;=59,"fail",J2&lt;=100,"pass")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 s="6">
        <f>AVERAGE(H3:I3)</f>
        <v>90</v>
      </c>
      <c r="K3" s="5" t="str" cm="1">
        <f t="array" ref="K3">_xlfn.IFS(J3&lt;=59,"F",J3&lt;=69,"D",J3&lt;=79,"C",J3&lt;=89,"B",J3&lt;=100,"A")</f>
        <v>A</v>
      </c>
      <c r="L3" t="str" cm="1">
        <f t="array" ref="L3">_xlfn.IFS(J3&lt;=59,"fail",J3&lt;=100,"pass")</f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 s="6">
        <f>AVERAGE(H4:I4)</f>
        <v>81.2</v>
      </c>
      <c r="K4" s="5" t="str" cm="1">
        <f t="array" ref="K4">_xlfn.IFS(J4&lt;=59,"F",J4&lt;=69,"D",J4&lt;=79,"C",J4&lt;=89,"B",J4&lt;=100,"A")</f>
        <v>B</v>
      </c>
      <c r="L4" t="str" cm="1">
        <f t="array" ref="L4">_xlfn.IFS(J4&lt;=59,"fail",J4&lt;=100,"pass")</f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 s="6">
        <f>AVERAGE(H5:I5)</f>
        <v>80.8</v>
      </c>
      <c r="K5" s="5" t="str" cm="1">
        <f t="array" ref="K5">_xlfn.IFS(J5&lt;=59,"F",J5&lt;=69,"D",J5&lt;=79,"C",J5&lt;=89,"B",J5&lt;=100,"A")</f>
        <v>B</v>
      </c>
      <c r="L5" t="str" cm="1">
        <f t="array" ref="L5">_xlfn.IFS(J5&lt;=59,"fail",J5&lt;=100,"pass")</f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 s="6">
        <f>AVERAGE(H6:I6)</f>
        <v>84.7</v>
      </c>
      <c r="K6" s="5" t="str" cm="1">
        <f t="array" ref="K6">_xlfn.IFS(J6&lt;=59,"F",J6&lt;=69,"D",J6&lt;=79,"C",J6&lt;=89,"B",J6&lt;=100,"A")</f>
        <v>B</v>
      </c>
      <c r="L6" t="str" cm="1">
        <f t="array" ref="L6">_xlfn.IFS(J6&lt;=59,"fail",J6&lt;=100,"pass")</f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 s="6">
        <f>AVERAGE(H7:I7)</f>
        <v>80.8</v>
      </c>
      <c r="K7" s="5" t="str" cm="1">
        <f t="array" ref="K7">_xlfn.IFS(J7&lt;=59,"F",J7&lt;=69,"D",J7&lt;=79,"C",J7&lt;=89,"B",J7&lt;=100,"A")</f>
        <v>B</v>
      </c>
      <c r="L7" t="str" cm="1">
        <f t="array" ref="L7">_xlfn.IFS(J7&lt;=59,"fail",J7&lt;=100,"pass")</f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 s="6">
        <f>AVERAGE(H8:I8)</f>
        <v>77.900000000000006</v>
      </c>
      <c r="K8" s="5" t="str" cm="1">
        <f t="array" ref="K8">_xlfn.IFS(J8&lt;=59,"F",J8&lt;=69,"D",J8&lt;=79,"C",J8&lt;=89,"B",J8&lt;=100,"A")</f>
        <v>C</v>
      </c>
      <c r="L8" t="str" cm="1">
        <f t="array" ref="L8">_xlfn.IFS(J8&lt;=59,"fail",J8&lt;=100,"pass")</f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 s="6">
        <f>AVERAGE(H9:I9)</f>
        <v>74.2</v>
      </c>
      <c r="K9" s="5" t="str" cm="1">
        <f t="array" ref="K9">_xlfn.IFS(J9&lt;=59,"F",J9&lt;=69,"D",J9&lt;=79,"C",J9&lt;=89,"B",J9&lt;=100,"A")</f>
        <v>C</v>
      </c>
      <c r="L9" t="str" cm="1">
        <f t="array" ref="L9">_xlfn.IFS(J9&lt;=59,"fail",J9&lt;=100,"pass")</f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 s="6">
        <f>AVERAGE(H10:I10)</f>
        <v>75.2</v>
      </c>
      <c r="K10" s="5" t="str" cm="1">
        <f t="array" ref="K10">_xlfn.IFS(J10&lt;=59,"F",J10&lt;=69,"D",J10&lt;=79,"C",J10&lt;=89,"B",J10&lt;=100,"A")</f>
        <v>C</v>
      </c>
      <c r="L10" t="str" cm="1">
        <f t="array" ref="L10">_xlfn.IFS(J10&lt;=59,"fail",J10&lt;=100,"pass")</f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 s="6">
        <f>AVERAGE(H11:I11)</f>
        <v>77.599999999999994</v>
      </c>
      <c r="K11" s="5" t="str" cm="1">
        <f t="array" ref="K11">_xlfn.IFS(J11&lt;=59,"F",J11&lt;=69,"D",J11&lt;=79,"C",J11&lt;=89,"B",J11&lt;=100,"A")</f>
        <v>C</v>
      </c>
      <c r="L11" t="str" cm="1">
        <f t="array" ref="L11">_xlfn.IFS(J11&lt;=59,"fail",J11&lt;=100,"pass")</f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 s="6">
        <f>AVERAGE(H12:I12)</f>
        <v>80.599999999999994</v>
      </c>
      <c r="K12" s="5" t="str" cm="1">
        <f t="array" ref="K12">_xlfn.IFS(J12&lt;=59,"F",J12&lt;=69,"D",J12&lt;=79,"C",J12&lt;=89,"B",J12&lt;=100,"A")</f>
        <v>B</v>
      </c>
      <c r="L12" t="str" cm="1">
        <f t="array" ref="L12">_xlfn.IFS(J12&lt;=59,"fail",J12&lt;=100,"pass")</f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 s="6">
        <f>AVERAGE(H13:I13)</f>
        <v>59</v>
      </c>
      <c r="K13" s="5" t="str" cm="1">
        <f t="array" ref="K13">_xlfn.IFS(J13&lt;=59,"F",J13&lt;=69,"D",J13&lt;=79,"C",J13&lt;=89,"B",J13&lt;=100,"A")</f>
        <v>F</v>
      </c>
      <c r="L13" t="str" cm="1">
        <f t="array" ref="L13">_xlfn.IFS(J13&lt;=59,"fail",J13&lt;=100,"pass")</f>
        <v>fail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 s="6">
        <f>AVERAGE(H14:I14)</f>
        <v>66.900000000000006</v>
      </c>
      <c r="K14" s="5" t="str" cm="1">
        <f t="array" ref="K14">_xlfn.IFS(J14&lt;=59,"F",J14&lt;=69,"D",J14&lt;=79,"C",J14&lt;=89,"B",J14&lt;=100,"A")</f>
        <v>D</v>
      </c>
      <c r="L14" t="str" cm="1">
        <f t="array" ref="L14">_xlfn.IFS(J14&lt;=59,"fail",J14&lt;=100,"pass")</f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 s="6">
        <f>AVERAGE(H15:I15)</f>
        <v>55.6</v>
      </c>
      <c r="K15" s="5" t="str" cm="1">
        <f t="array" ref="K15">_xlfn.IFS(J15&lt;=59,"F",J15&lt;=69,"D",J15&lt;=79,"C",J15&lt;=89,"B",J15&lt;=100,"A")</f>
        <v>F</v>
      </c>
      <c r="L15" t="str" cm="1">
        <f t="array" ref="L15">_xlfn.IFS(J15&lt;=59,"fail",J15&lt;=100,"pass")</f>
        <v>fail</v>
      </c>
    </row>
    <row r="16" spans="1:12" ht="16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8">
      <c r="C17" s="5">
        <f>MAX(C2:C15)</f>
        <v>98</v>
      </c>
      <c r="D17" s="5">
        <f>LARGE(D2:D15,2)</f>
        <v>92</v>
      </c>
      <c r="H17" s="1">
        <f>COUNTIF(H2:H15,"&lt;80")</f>
        <v>8</v>
      </c>
      <c r="J17" s="6">
        <f>AVERAGE(J2:J15)</f>
        <v>76.871428571428581</v>
      </c>
    </row>
    <row r="18" spans="3:18">
      <c r="Q18" t="s">
        <v>32</v>
      </c>
      <c r="R18">
        <f>COUNTIF(L2:L15,"pass")</f>
        <v>12</v>
      </c>
    </row>
    <row r="19" spans="3:18">
      <c r="Q19" t="s">
        <v>33</v>
      </c>
      <c r="R19">
        <f>COUNTIF(L2:L15,"fail")</f>
        <v>2</v>
      </c>
    </row>
    <row r="24" spans="3:18" ht="16">
      <c r="J24" s="4" t="s">
        <v>30</v>
      </c>
    </row>
  </sheetData>
  <phoneticPr fontId="2" type="noConversion"/>
  <conditionalFormatting sqref="L2:L15 R18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Shi Wei Huang</cp:lastModifiedBy>
  <dcterms:created xsi:type="dcterms:W3CDTF">2023-10-19T05:27:10Z</dcterms:created>
  <dcterms:modified xsi:type="dcterms:W3CDTF">2025-10-08T15:08:35Z</dcterms:modified>
</cp:coreProperties>
</file>